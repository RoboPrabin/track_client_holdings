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ishakti\Projects\RPA\track_stock_price\"/>
    </mc:Choice>
  </mc:AlternateContent>
  <xr:revisionPtr revIDLastSave="0" documentId="13_ncr:1_{48D631B8-25AB-40E3-BBBF-86791E0C4354}" xr6:coauthVersionLast="47" xr6:coauthVersionMax="47" xr10:uidLastSave="{00000000-0000-0000-0000-000000000000}"/>
  <bookViews>
    <workbookView xWindow="-3075" yWindow="-16320" windowWidth="29040" windowHeight="16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1" l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" i="1"/>
</calcChain>
</file>

<file path=xl/sharedStrings.xml><?xml version="1.0" encoding="utf-8"?>
<sst xmlns="http://schemas.openxmlformats.org/spreadsheetml/2006/main" count="94" uniqueCount="68">
  <si>
    <t>currentBalance</t>
  </si>
  <si>
    <t>dematPending</t>
  </si>
  <si>
    <t>freeBalance</t>
  </si>
  <si>
    <t>freezeBalance</t>
  </si>
  <si>
    <t>lockingBalance</t>
  </si>
  <si>
    <t>pledgeBalance</t>
  </si>
  <si>
    <t>remarks</t>
  </si>
  <si>
    <t>script</t>
  </si>
  <si>
    <t>wacc_calculated__qty</t>
  </si>
  <si>
    <t>wacc_rate</t>
  </si>
  <si>
    <t>total_cost_of_capital</t>
  </si>
  <si>
    <t>pending_wacc_qty</t>
  </si>
  <si>
    <t>pending_wacc_rate</t>
  </si>
  <si>
    <t>pending_wacc</t>
  </si>
  <si>
    <t>pending_wacc_count</t>
  </si>
  <si>
    <t>pending_wacc_source</t>
  </si>
  <si>
    <t>live_price</t>
  </si>
  <si>
    <t>market_value</t>
  </si>
  <si>
    <t>last_updated</t>
  </si>
  <si>
    <t>pending_wacc_valuation</t>
  </si>
  <si>
    <t>pending_wacc_total_qty</t>
  </si>
  <si>
    <t>Cost</t>
  </si>
  <si>
    <t xml:space="preserve"> </t>
  </si>
  <si>
    <t>AKPL</t>
  </si>
  <si>
    <t>API</t>
  </si>
  <si>
    <t>BNT</t>
  </si>
  <si>
    <t>DLBS</t>
  </si>
  <si>
    <t>HDL</t>
  </si>
  <si>
    <t>HLI</t>
  </si>
  <si>
    <t>HRL</t>
  </si>
  <si>
    <t>LUK</t>
  </si>
  <si>
    <t>MBL</t>
  </si>
  <si>
    <t>NICL</t>
  </si>
  <si>
    <t>NICLBSL</t>
  </si>
  <si>
    <t>NIFRA</t>
  </si>
  <si>
    <t>NIMB</t>
  </si>
  <si>
    <t>NMFBS</t>
  </si>
  <si>
    <t>PMLI</t>
  </si>
  <si>
    <t>RHPL</t>
  </si>
  <si>
    <t>RLFL</t>
  </si>
  <si>
    <t>SAHAS</t>
  </si>
  <si>
    <t>SALICO</t>
  </si>
  <si>
    <t>SJCL</t>
  </si>
  <si>
    <t>SKBBL</t>
  </si>
  <si>
    <t>SRLI</t>
  </si>
  <si>
    <t>TVCL</t>
  </si>
  <si>
    <t>UHEWA</t>
  </si>
  <si>
    <t>1, 2</t>
  </si>
  <si>
    <t>1, 1</t>
  </si>
  <si>
    <t>263, 85</t>
  </si>
  <si>
    <t>1, 1, 1</t>
  </si>
  <si>
    <t>10</t>
  </si>
  <si>
    <t>1, 2, 10</t>
  </si>
  <si>
    <t>1</t>
  </si>
  <si>
    <t>500</t>
  </si>
  <si>
    <t>100.0, 100.0</t>
  </si>
  <si>
    <t>495.5333, 100.0</t>
  </si>
  <si>
    <t>100.0, 100.0, 100.0</t>
  </si>
  <si>
    <t>745.275</t>
  </si>
  <si>
    <t>100.0, 100.0, 955.9621</t>
  </si>
  <si>
    <t>100.0</t>
  </si>
  <si>
    <t>571.0131</t>
  </si>
  <si>
    <t>BONUS, BONUS</t>
  </si>
  <si>
    <t>ON-MARKET, BONUS</t>
  </si>
  <si>
    <t>BONUS, BONUS, BONUS</t>
  </si>
  <si>
    <t>ON-MARKET</t>
  </si>
  <si>
    <t>BONUS, BONUS, ON-MARKET</t>
  </si>
  <si>
    <t>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</si>
</sst>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5"/>
  <sheetViews>
    <sheetView tabSelected="1" topLeftCell="M1" workbookViewId="0">
      <selection activeCell="X16" sqref="X16"/>
    </sheetView>
  </sheetViews>
  <sheetFormatPr defaultRowHeight="14.35" x14ac:dyDescent="0.5"/>
  <cols>
    <col min="1" max="1" width="13.29296875" bestFit="1" customWidth="1"/>
    <col min="2" max="2" width="13.05859375" bestFit="1" customWidth="1"/>
    <col min="3" max="3" width="10.64453125" bestFit="1" customWidth="1"/>
    <col min="4" max="4" width="12.64453125" bestFit="1" customWidth="1"/>
    <col min="5" max="5" width="13.17578125" bestFit="1" customWidth="1"/>
    <col min="6" max="6" width="13.05859375" bestFit="1" customWidth="1"/>
    <col min="7" max="7" width="7.46875" bestFit="1" customWidth="1"/>
    <col min="8" max="8" width="7.3515625" bestFit="1" customWidth="1"/>
    <col min="9" max="9" width="18.87890625" bestFit="1" customWidth="1"/>
    <col min="10" max="10" width="10.76171875" bestFit="1" customWidth="1"/>
    <col min="11" max="11" width="18.17578125" bestFit="1" customWidth="1"/>
    <col min="12" max="12" width="16.3515625" bestFit="1" customWidth="1"/>
    <col min="13" max="13" width="19.05859375" bestFit="1" customWidth="1"/>
    <col min="14" max="14" width="12.64453125" bestFit="1" customWidth="1"/>
    <col min="15" max="15" width="18.3515625" bestFit="1" customWidth="1"/>
    <col min="16" max="16" width="24.9375" bestFit="1" customWidth="1"/>
    <col min="17" max="17" width="21.52734375" bestFit="1" customWidth="1"/>
    <col min="18" max="18" width="21.234375" bestFit="1" customWidth="1"/>
    <col min="19" max="19" width="11.76171875" bestFit="1" customWidth="1"/>
    <col min="21" max="21" width="12.234375" bestFit="1" customWidth="1"/>
    <col min="22" max="22" width="11.5859375" bestFit="1" customWidth="1"/>
  </cols>
  <sheetData>
    <row r="1" spans="1:22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19</v>
      </c>
      <c r="R1" s="1" t="s">
        <v>20</v>
      </c>
      <c r="S1" s="1" t="s">
        <v>21</v>
      </c>
      <c r="T1" s="1" t="s">
        <v>16</v>
      </c>
      <c r="U1" s="1" t="s">
        <v>17</v>
      </c>
      <c r="V1" s="1" t="s">
        <v>18</v>
      </c>
    </row>
    <row r="2" spans="1:22" x14ac:dyDescent="0.5">
      <c r="A2">
        <v>5000</v>
      </c>
      <c r="B2">
        <v>0</v>
      </c>
      <c r="C2">
        <v>0</v>
      </c>
      <c r="D2">
        <v>0</v>
      </c>
      <c r="E2">
        <v>0</v>
      </c>
      <c r="F2">
        <v>5000</v>
      </c>
      <c r="G2" t="s">
        <v>22</v>
      </c>
      <c r="H2" t="s">
        <v>23</v>
      </c>
      <c r="I2">
        <v>5000</v>
      </c>
      <c r="J2">
        <v>274.13589999999999</v>
      </c>
      <c r="K2">
        <v>1370679.5</v>
      </c>
      <c r="L2">
        <v>0</v>
      </c>
      <c r="M2">
        <v>0</v>
      </c>
      <c r="N2" t="b">
        <v>0</v>
      </c>
      <c r="O2">
        <v>0</v>
      </c>
      <c r="Q2">
        <v>0</v>
      </c>
      <c r="R2">
        <v>0</v>
      </c>
      <c r="S2">
        <v>1370679.5</v>
      </c>
      <c r="T2">
        <v>241.1</v>
      </c>
      <c r="U2">
        <f>T2*A2</f>
        <v>1205500</v>
      </c>
    </row>
    <row r="3" spans="1:22" x14ac:dyDescent="0.5">
      <c r="A3">
        <v>4</v>
      </c>
      <c r="B3">
        <v>0</v>
      </c>
      <c r="C3">
        <v>4</v>
      </c>
      <c r="D3">
        <v>0</v>
      </c>
      <c r="E3">
        <v>0</v>
      </c>
      <c r="F3">
        <v>0</v>
      </c>
      <c r="G3" t="s">
        <v>22</v>
      </c>
      <c r="H3" t="s">
        <v>24</v>
      </c>
      <c r="I3">
        <v>214</v>
      </c>
      <c r="J3">
        <v>100</v>
      </c>
      <c r="K3">
        <v>21400</v>
      </c>
      <c r="L3">
        <v>0</v>
      </c>
      <c r="M3">
        <v>0</v>
      </c>
      <c r="N3" t="b">
        <v>0</v>
      </c>
      <c r="O3">
        <v>0</v>
      </c>
      <c r="Q3">
        <v>0</v>
      </c>
      <c r="R3">
        <v>0</v>
      </c>
      <c r="S3">
        <v>21400</v>
      </c>
      <c r="T3">
        <v>278</v>
      </c>
      <c r="U3">
        <f t="shared" ref="U3:U25" si="0">T3*A3</f>
        <v>1112</v>
      </c>
    </row>
    <row r="4" spans="1:22" x14ac:dyDescent="0.5">
      <c r="A4">
        <v>10</v>
      </c>
      <c r="B4">
        <v>0</v>
      </c>
      <c r="C4">
        <v>10</v>
      </c>
      <c r="D4">
        <v>0</v>
      </c>
      <c r="E4">
        <v>0</v>
      </c>
      <c r="F4">
        <v>0</v>
      </c>
      <c r="G4" t="s">
        <v>22</v>
      </c>
      <c r="H4" t="s">
        <v>25</v>
      </c>
      <c r="I4">
        <v>10</v>
      </c>
      <c r="J4">
        <v>15249.9228</v>
      </c>
      <c r="K4">
        <v>152499.228</v>
      </c>
      <c r="L4">
        <v>0</v>
      </c>
      <c r="M4">
        <v>0</v>
      </c>
      <c r="N4" t="b">
        <v>0</v>
      </c>
      <c r="O4">
        <v>0</v>
      </c>
      <c r="Q4">
        <v>0</v>
      </c>
      <c r="R4">
        <v>0</v>
      </c>
      <c r="S4">
        <v>152499.23000000001</v>
      </c>
      <c r="T4">
        <v>11073</v>
      </c>
      <c r="U4">
        <f t="shared" si="0"/>
        <v>110730</v>
      </c>
    </row>
    <row r="5" spans="1:22" x14ac:dyDescent="0.5">
      <c r="A5">
        <v>550</v>
      </c>
      <c r="B5">
        <v>0</v>
      </c>
      <c r="C5">
        <v>0</v>
      </c>
      <c r="D5">
        <v>0</v>
      </c>
      <c r="E5">
        <v>0</v>
      </c>
      <c r="F5">
        <v>550</v>
      </c>
      <c r="G5" t="s">
        <v>22</v>
      </c>
      <c r="H5" t="s">
        <v>26</v>
      </c>
      <c r="I5">
        <v>550</v>
      </c>
      <c r="J5">
        <v>1586.4054000000001</v>
      </c>
      <c r="K5">
        <v>872522.97</v>
      </c>
      <c r="L5">
        <v>0</v>
      </c>
      <c r="M5">
        <v>0</v>
      </c>
      <c r="N5" t="b">
        <v>0</v>
      </c>
      <c r="O5">
        <v>0</v>
      </c>
      <c r="Q5">
        <v>0</v>
      </c>
      <c r="R5">
        <v>0</v>
      </c>
      <c r="S5">
        <v>872522.97</v>
      </c>
      <c r="U5">
        <f t="shared" si="0"/>
        <v>0</v>
      </c>
    </row>
    <row r="6" spans="1:22" x14ac:dyDescent="0.5">
      <c r="A6">
        <v>22</v>
      </c>
      <c r="B6">
        <v>0</v>
      </c>
      <c r="C6">
        <v>22</v>
      </c>
      <c r="D6">
        <v>0</v>
      </c>
      <c r="E6">
        <v>0</v>
      </c>
      <c r="F6">
        <v>0</v>
      </c>
      <c r="G6" t="s">
        <v>22</v>
      </c>
      <c r="H6" t="s">
        <v>27</v>
      </c>
      <c r="I6">
        <v>19</v>
      </c>
      <c r="J6">
        <v>1536.3271999999999</v>
      </c>
      <c r="K6">
        <v>29190.2173</v>
      </c>
      <c r="L6" t="s">
        <v>47</v>
      </c>
      <c r="M6" t="s">
        <v>55</v>
      </c>
      <c r="N6" t="b">
        <v>1</v>
      </c>
      <c r="O6">
        <v>3</v>
      </c>
      <c r="P6" t="s">
        <v>62</v>
      </c>
      <c r="Q6">
        <v>300</v>
      </c>
      <c r="R6">
        <v>3</v>
      </c>
      <c r="S6">
        <v>29490.22</v>
      </c>
      <c r="T6">
        <v>1175</v>
      </c>
      <c r="U6">
        <f t="shared" si="0"/>
        <v>25850</v>
      </c>
    </row>
    <row r="7" spans="1:22" x14ac:dyDescent="0.5">
      <c r="A7">
        <v>12</v>
      </c>
      <c r="B7">
        <v>0</v>
      </c>
      <c r="C7">
        <v>12</v>
      </c>
      <c r="D7">
        <v>0</v>
      </c>
      <c r="E7">
        <v>0</v>
      </c>
      <c r="F7">
        <v>0</v>
      </c>
      <c r="G7" t="s">
        <v>22</v>
      </c>
      <c r="H7" t="s">
        <v>28</v>
      </c>
      <c r="I7">
        <v>10</v>
      </c>
      <c r="J7">
        <v>100</v>
      </c>
      <c r="K7">
        <v>1000</v>
      </c>
      <c r="L7" t="s">
        <v>48</v>
      </c>
      <c r="M7" t="s">
        <v>55</v>
      </c>
      <c r="N7" t="b">
        <v>1</v>
      </c>
      <c r="O7">
        <v>2</v>
      </c>
      <c r="P7" t="s">
        <v>62</v>
      </c>
      <c r="Q7">
        <v>200</v>
      </c>
      <c r="R7">
        <v>2</v>
      </c>
      <c r="S7">
        <v>1200</v>
      </c>
      <c r="T7">
        <v>367</v>
      </c>
      <c r="U7">
        <f t="shared" si="0"/>
        <v>4404</v>
      </c>
    </row>
    <row r="8" spans="1:22" x14ac:dyDescent="0.5">
      <c r="A8">
        <v>10</v>
      </c>
      <c r="B8">
        <v>0</v>
      </c>
      <c r="C8">
        <v>10</v>
      </c>
      <c r="D8">
        <v>0</v>
      </c>
      <c r="E8">
        <v>0</v>
      </c>
      <c r="F8">
        <v>0</v>
      </c>
      <c r="G8" t="s">
        <v>22</v>
      </c>
      <c r="H8" t="s">
        <v>29</v>
      </c>
      <c r="I8">
        <v>10</v>
      </c>
      <c r="J8">
        <v>206</v>
      </c>
      <c r="K8">
        <v>2060</v>
      </c>
      <c r="L8">
        <v>0</v>
      </c>
      <c r="M8">
        <v>0</v>
      </c>
      <c r="N8" t="b">
        <v>0</v>
      </c>
      <c r="O8">
        <v>0</v>
      </c>
      <c r="Q8">
        <v>0</v>
      </c>
      <c r="R8">
        <v>0</v>
      </c>
      <c r="S8">
        <v>2060</v>
      </c>
      <c r="T8">
        <v>799</v>
      </c>
      <c r="U8">
        <f t="shared" si="0"/>
        <v>7990</v>
      </c>
    </row>
    <row r="9" spans="1:22" x14ac:dyDescent="0.5">
      <c r="A9">
        <v>5000</v>
      </c>
      <c r="B9">
        <v>0</v>
      </c>
      <c r="C9">
        <v>5000</v>
      </c>
      <c r="D9">
        <v>0</v>
      </c>
      <c r="E9">
        <v>0</v>
      </c>
      <c r="F9">
        <v>0</v>
      </c>
      <c r="G9" t="s">
        <v>22</v>
      </c>
      <c r="H9" t="s">
        <v>30</v>
      </c>
      <c r="I9">
        <v>5000</v>
      </c>
      <c r="J9">
        <v>8.9826999999999995</v>
      </c>
      <c r="K9">
        <v>44913.5</v>
      </c>
      <c r="L9">
        <v>0</v>
      </c>
      <c r="M9">
        <v>0</v>
      </c>
      <c r="N9" t="b">
        <v>0</v>
      </c>
      <c r="O9">
        <v>0</v>
      </c>
      <c r="Q9">
        <v>0</v>
      </c>
      <c r="R9">
        <v>0</v>
      </c>
      <c r="S9">
        <v>44913.5</v>
      </c>
      <c r="U9">
        <f t="shared" si="0"/>
        <v>0</v>
      </c>
    </row>
    <row r="10" spans="1:22" x14ac:dyDescent="0.5">
      <c r="A10">
        <v>21</v>
      </c>
      <c r="B10">
        <v>0</v>
      </c>
      <c r="C10">
        <v>21</v>
      </c>
      <c r="D10">
        <v>0</v>
      </c>
      <c r="E10">
        <v>0</v>
      </c>
      <c r="F10">
        <v>0</v>
      </c>
      <c r="G10" t="s">
        <v>22</v>
      </c>
      <c r="H10" t="s">
        <v>31</v>
      </c>
      <c r="I10">
        <v>47000</v>
      </c>
      <c r="J10">
        <v>260.7482</v>
      </c>
      <c r="K10">
        <v>12255165.4</v>
      </c>
      <c r="L10">
        <v>0</v>
      </c>
      <c r="M10">
        <v>0</v>
      </c>
      <c r="N10" t="b">
        <v>0</v>
      </c>
      <c r="O10">
        <v>0</v>
      </c>
      <c r="Q10">
        <v>0</v>
      </c>
      <c r="R10">
        <v>0</v>
      </c>
      <c r="S10">
        <v>12255165.4</v>
      </c>
      <c r="T10">
        <v>208.4</v>
      </c>
      <c r="U10">
        <f t="shared" si="0"/>
        <v>4376.4000000000005</v>
      </c>
    </row>
    <row r="11" spans="1:22" x14ac:dyDescent="0.5">
      <c r="A11">
        <v>348</v>
      </c>
      <c r="B11">
        <v>0</v>
      </c>
      <c r="C11">
        <v>263</v>
      </c>
      <c r="D11">
        <v>0</v>
      </c>
      <c r="E11">
        <v>0</v>
      </c>
      <c r="F11">
        <v>85</v>
      </c>
      <c r="G11" t="s">
        <v>22</v>
      </c>
      <c r="H11" t="s">
        <v>32</v>
      </c>
      <c r="I11">
        <v>572</v>
      </c>
      <c r="J11">
        <v>1022.1143</v>
      </c>
      <c r="K11">
        <v>584649.37959999999</v>
      </c>
      <c r="L11" t="s">
        <v>49</v>
      </c>
      <c r="M11" t="s">
        <v>56</v>
      </c>
      <c r="N11" t="b">
        <v>1</v>
      </c>
      <c r="O11">
        <v>2</v>
      </c>
      <c r="P11" t="s">
        <v>63</v>
      </c>
      <c r="Q11">
        <v>138825.26</v>
      </c>
      <c r="R11">
        <v>348</v>
      </c>
      <c r="S11">
        <v>138825.26</v>
      </c>
      <c r="U11">
        <f t="shared" si="0"/>
        <v>0</v>
      </c>
    </row>
    <row r="12" spans="1:22" x14ac:dyDescent="0.5">
      <c r="A12">
        <v>20</v>
      </c>
      <c r="B12">
        <v>0</v>
      </c>
      <c r="C12">
        <v>20</v>
      </c>
      <c r="D12">
        <v>0</v>
      </c>
      <c r="E12">
        <v>0</v>
      </c>
      <c r="F12">
        <v>0</v>
      </c>
      <c r="G12" t="s">
        <v>22</v>
      </c>
      <c r="H12" t="s">
        <v>33</v>
      </c>
      <c r="I12">
        <v>20</v>
      </c>
      <c r="J12">
        <v>100</v>
      </c>
      <c r="K12">
        <v>2000</v>
      </c>
      <c r="L12">
        <v>0</v>
      </c>
      <c r="M12">
        <v>0</v>
      </c>
      <c r="N12" t="b">
        <v>0</v>
      </c>
      <c r="O12">
        <v>0</v>
      </c>
      <c r="Q12">
        <v>0</v>
      </c>
      <c r="R12">
        <v>0</v>
      </c>
      <c r="S12">
        <v>2000</v>
      </c>
      <c r="U12">
        <f t="shared" si="0"/>
        <v>0</v>
      </c>
    </row>
    <row r="13" spans="1:22" x14ac:dyDescent="0.5">
      <c r="A13">
        <v>54</v>
      </c>
      <c r="B13">
        <v>0</v>
      </c>
      <c r="C13">
        <v>54</v>
      </c>
      <c r="D13">
        <v>0</v>
      </c>
      <c r="E13">
        <v>0</v>
      </c>
      <c r="F13">
        <v>0</v>
      </c>
      <c r="G13" t="s">
        <v>22</v>
      </c>
      <c r="H13" t="s">
        <v>34</v>
      </c>
      <c r="I13">
        <v>54</v>
      </c>
      <c r="J13">
        <v>100</v>
      </c>
      <c r="K13">
        <v>5400</v>
      </c>
      <c r="L13">
        <v>0</v>
      </c>
      <c r="M13">
        <v>0</v>
      </c>
      <c r="N13" t="b">
        <v>0</v>
      </c>
      <c r="O13">
        <v>0</v>
      </c>
      <c r="Q13">
        <v>0</v>
      </c>
      <c r="R13">
        <v>0</v>
      </c>
      <c r="S13">
        <v>5400</v>
      </c>
      <c r="T13">
        <v>265</v>
      </c>
      <c r="U13">
        <f t="shared" si="0"/>
        <v>14310</v>
      </c>
    </row>
    <row r="14" spans="1:22" x14ac:dyDescent="0.5">
      <c r="A14">
        <v>31</v>
      </c>
      <c r="B14">
        <v>0</v>
      </c>
      <c r="C14">
        <v>31</v>
      </c>
      <c r="D14">
        <v>0</v>
      </c>
      <c r="E14">
        <v>0</v>
      </c>
      <c r="F14">
        <v>0</v>
      </c>
      <c r="G14" t="s">
        <v>22</v>
      </c>
      <c r="H14" t="s">
        <v>35</v>
      </c>
      <c r="I14">
        <v>31</v>
      </c>
      <c r="J14">
        <v>257.0428</v>
      </c>
      <c r="K14">
        <v>7968.3283000000001</v>
      </c>
      <c r="L14">
        <v>0</v>
      </c>
      <c r="M14">
        <v>0</v>
      </c>
      <c r="N14" t="b">
        <v>0</v>
      </c>
      <c r="O14">
        <v>0</v>
      </c>
      <c r="Q14">
        <v>0</v>
      </c>
      <c r="R14">
        <v>0</v>
      </c>
      <c r="S14">
        <v>7968.33</v>
      </c>
      <c r="T14">
        <v>199.2</v>
      </c>
      <c r="U14">
        <f t="shared" si="0"/>
        <v>6175.2</v>
      </c>
    </row>
    <row r="15" spans="1:22" x14ac:dyDescent="0.5">
      <c r="A15">
        <v>10620</v>
      </c>
      <c r="B15">
        <v>0</v>
      </c>
      <c r="C15">
        <v>0</v>
      </c>
      <c r="D15">
        <v>0</v>
      </c>
      <c r="E15">
        <v>0</v>
      </c>
      <c r="F15">
        <v>10620</v>
      </c>
      <c r="G15" t="s">
        <v>22</v>
      </c>
      <c r="H15" t="s">
        <v>36</v>
      </c>
      <c r="I15">
        <v>10620</v>
      </c>
      <c r="J15">
        <v>1391.8321000000001</v>
      </c>
      <c r="K15">
        <v>14781256.408</v>
      </c>
      <c r="L15">
        <v>0</v>
      </c>
      <c r="M15">
        <v>0</v>
      </c>
      <c r="N15" t="b">
        <v>0</v>
      </c>
      <c r="O15">
        <v>0</v>
      </c>
      <c r="Q15">
        <v>0</v>
      </c>
      <c r="R15">
        <v>0</v>
      </c>
      <c r="S15">
        <v>14781256.41</v>
      </c>
      <c r="U15">
        <f t="shared" si="0"/>
        <v>0</v>
      </c>
    </row>
    <row r="16" spans="1:22" x14ac:dyDescent="0.5">
      <c r="A16">
        <v>13</v>
      </c>
      <c r="B16">
        <v>0</v>
      </c>
      <c r="C16">
        <v>13</v>
      </c>
      <c r="D16">
        <v>0</v>
      </c>
      <c r="E16">
        <v>0</v>
      </c>
      <c r="F16">
        <v>0</v>
      </c>
      <c r="G16" t="s">
        <v>22</v>
      </c>
      <c r="H16" t="s">
        <v>37</v>
      </c>
      <c r="I16">
        <v>10</v>
      </c>
      <c r="J16">
        <v>100</v>
      </c>
      <c r="K16">
        <v>1000</v>
      </c>
      <c r="L16" t="s">
        <v>50</v>
      </c>
      <c r="M16" t="s">
        <v>57</v>
      </c>
      <c r="N16" t="b">
        <v>1</v>
      </c>
      <c r="O16">
        <v>3</v>
      </c>
      <c r="P16" t="s">
        <v>64</v>
      </c>
      <c r="Q16">
        <v>300</v>
      </c>
      <c r="R16">
        <v>3</v>
      </c>
      <c r="S16">
        <v>1300</v>
      </c>
      <c r="U16">
        <f t="shared" si="0"/>
        <v>0</v>
      </c>
    </row>
    <row r="17" spans="1:21" x14ac:dyDescent="0.5">
      <c r="A17">
        <v>20</v>
      </c>
      <c r="B17">
        <v>0</v>
      </c>
      <c r="C17">
        <v>20</v>
      </c>
      <c r="D17">
        <v>0</v>
      </c>
      <c r="E17">
        <v>0</v>
      </c>
      <c r="F17">
        <v>0</v>
      </c>
      <c r="G17" t="s">
        <v>22</v>
      </c>
      <c r="H17" t="s">
        <v>38</v>
      </c>
      <c r="I17">
        <v>20</v>
      </c>
      <c r="J17">
        <v>100</v>
      </c>
      <c r="K17">
        <v>2000</v>
      </c>
      <c r="L17">
        <v>0</v>
      </c>
      <c r="M17">
        <v>0</v>
      </c>
      <c r="N17" t="b">
        <v>0</v>
      </c>
      <c r="O17">
        <v>0</v>
      </c>
      <c r="Q17">
        <v>0</v>
      </c>
      <c r="R17">
        <v>0</v>
      </c>
      <c r="S17">
        <v>2000</v>
      </c>
      <c r="T17">
        <v>264</v>
      </c>
      <c r="U17">
        <f t="shared" si="0"/>
        <v>5280</v>
      </c>
    </row>
    <row r="18" spans="1:21" x14ac:dyDescent="0.5">
      <c r="A18">
        <v>10</v>
      </c>
      <c r="B18">
        <v>0</v>
      </c>
      <c r="C18">
        <v>10</v>
      </c>
      <c r="D18">
        <v>0</v>
      </c>
      <c r="E18">
        <v>0</v>
      </c>
      <c r="F18">
        <v>0</v>
      </c>
      <c r="G18" t="s">
        <v>22</v>
      </c>
      <c r="H18" t="s">
        <v>39</v>
      </c>
      <c r="I18">
        <v>10</v>
      </c>
      <c r="J18">
        <v>691.07249999999999</v>
      </c>
      <c r="K18">
        <v>6910.7250000000004</v>
      </c>
      <c r="L18">
        <v>0</v>
      </c>
      <c r="M18">
        <v>0</v>
      </c>
      <c r="N18" t="b">
        <v>0</v>
      </c>
      <c r="O18">
        <v>0</v>
      </c>
      <c r="Q18">
        <v>0</v>
      </c>
      <c r="R18">
        <v>0</v>
      </c>
      <c r="S18">
        <v>6910.72</v>
      </c>
      <c r="T18">
        <v>430.2</v>
      </c>
      <c r="U18">
        <f t="shared" si="0"/>
        <v>4302</v>
      </c>
    </row>
    <row r="19" spans="1:21" x14ac:dyDescent="0.5">
      <c r="A19">
        <v>47</v>
      </c>
      <c r="B19">
        <v>0</v>
      </c>
      <c r="C19">
        <v>47</v>
      </c>
      <c r="D19">
        <v>0</v>
      </c>
      <c r="E19">
        <v>0</v>
      </c>
      <c r="F19">
        <v>0</v>
      </c>
      <c r="G19" t="s">
        <v>22</v>
      </c>
      <c r="H19" t="s">
        <v>40</v>
      </c>
      <c r="I19">
        <v>5000</v>
      </c>
      <c r="J19">
        <v>549.56679999999994</v>
      </c>
      <c r="K19">
        <v>2747834</v>
      </c>
      <c r="L19">
        <v>0</v>
      </c>
      <c r="M19">
        <v>0</v>
      </c>
      <c r="N19" t="b">
        <v>0</v>
      </c>
      <c r="O19">
        <v>0</v>
      </c>
      <c r="Q19">
        <v>0</v>
      </c>
      <c r="R19">
        <v>0</v>
      </c>
      <c r="S19">
        <v>2747834</v>
      </c>
      <c r="T19">
        <v>660</v>
      </c>
      <c r="U19">
        <f t="shared" si="0"/>
        <v>31020</v>
      </c>
    </row>
    <row r="20" spans="1:21" x14ac:dyDescent="0.5">
      <c r="A20">
        <v>15</v>
      </c>
      <c r="B20">
        <v>0</v>
      </c>
      <c r="C20">
        <v>15</v>
      </c>
      <c r="D20">
        <v>0</v>
      </c>
      <c r="E20">
        <v>0</v>
      </c>
      <c r="F20">
        <v>0</v>
      </c>
      <c r="G20" t="s">
        <v>22</v>
      </c>
      <c r="H20" t="s">
        <v>41</v>
      </c>
      <c r="I20">
        <v>5</v>
      </c>
      <c r="J20">
        <v>100</v>
      </c>
      <c r="K20">
        <v>500</v>
      </c>
      <c r="L20" t="s">
        <v>51</v>
      </c>
      <c r="M20" t="s">
        <v>58</v>
      </c>
      <c r="N20" t="b">
        <v>1</v>
      </c>
      <c r="O20">
        <v>1</v>
      </c>
      <c r="P20" t="s">
        <v>65</v>
      </c>
      <c r="Q20">
        <v>7452.75</v>
      </c>
      <c r="R20">
        <v>10</v>
      </c>
      <c r="S20">
        <v>7952.75</v>
      </c>
      <c r="T20">
        <v>574.1</v>
      </c>
      <c r="U20">
        <f t="shared" si="0"/>
        <v>8611.5</v>
      </c>
    </row>
    <row r="21" spans="1:21" x14ac:dyDescent="0.5">
      <c r="A21">
        <v>20</v>
      </c>
      <c r="B21">
        <v>0</v>
      </c>
      <c r="C21">
        <v>20</v>
      </c>
      <c r="D21">
        <v>0</v>
      </c>
      <c r="E21">
        <v>0</v>
      </c>
      <c r="F21">
        <v>0</v>
      </c>
      <c r="G21" t="s">
        <v>22</v>
      </c>
      <c r="H21" t="s">
        <v>42</v>
      </c>
      <c r="I21">
        <v>20</v>
      </c>
      <c r="J21">
        <v>100</v>
      </c>
      <c r="K21">
        <v>2000</v>
      </c>
      <c r="L21">
        <v>0</v>
      </c>
      <c r="M21">
        <v>0</v>
      </c>
      <c r="N21" t="b">
        <v>0</v>
      </c>
      <c r="O21">
        <v>0</v>
      </c>
      <c r="Q21">
        <v>0</v>
      </c>
      <c r="R21">
        <v>0</v>
      </c>
      <c r="S21">
        <v>2000</v>
      </c>
      <c r="U21">
        <f t="shared" si="0"/>
        <v>0</v>
      </c>
    </row>
    <row r="22" spans="1:21" x14ac:dyDescent="0.5">
      <c r="A22">
        <v>21</v>
      </c>
      <c r="B22">
        <v>0</v>
      </c>
      <c r="C22">
        <v>13</v>
      </c>
      <c r="D22">
        <v>0</v>
      </c>
      <c r="E22">
        <v>0</v>
      </c>
      <c r="F22">
        <v>8</v>
      </c>
      <c r="G22" t="s">
        <v>22</v>
      </c>
      <c r="H22" t="s">
        <v>43</v>
      </c>
      <c r="I22">
        <v>6193</v>
      </c>
      <c r="J22">
        <v>818.77790000000005</v>
      </c>
      <c r="K22">
        <v>5070691.7144999998</v>
      </c>
      <c r="L22" t="s">
        <v>52</v>
      </c>
      <c r="M22" t="s">
        <v>59</v>
      </c>
      <c r="N22" t="b">
        <v>1</v>
      </c>
      <c r="O22">
        <v>3</v>
      </c>
      <c r="P22" t="s">
        <v>66</v>
      </c>
      <c r="Q22">
        <v>9859.6200000000008</v>
      </c>
      <c r="R22">
        <v>13</v>
      </c>
      <c r="S22">
        <v>16409.84</v>
      </c>
      <c r="T22">
        <v>857</v>
      </c>
      <c r="U22">
        <f t="shared" si="0"/>
        <v>17997</v>
      </c>
    </row>
    <row r="23" spans="1:21" x14ac:dyDescent="0.5">
      <c r="A23">
        <v>11</v>
      </c>
      <c r="B23">
        <v>0</v>
      </c>
      <c r="C23">
        <v>11</v>
      </c>
      <c r="D23">
        <v>0</v>
      </c>
      <c r="E23">
        <v>0</v>
      </c>
      <c r="F23">
        <v>0</v>
      </c>
      <c r="G23" t="s">
        <v>22</v>
      </c>
      <c r="H23" t="s">
        <v>44</v>
      </c>
      <c r="I23">
        <v>10</v>
      </c>
      <c r="J23">
        <v>100</v>
      </c>
      <c r="K23">
        <v>1000</v>
      </c>
      <c r="L23" t="s">
        <v>53</v>
      </c>
      <c r="M23" t="s">
        <v>60</v>
      </c>
      <c r="N23" t="b">
        <v>1</v>
      </c>
      <c r="O23">
        <v>1</v>
      </c>
      <c r="P23" t="s">
        <v>67</v>
      </c>
      <c r="Q23">
        <v>100</v>
      </c>
      <c r="R23">
        <v>1</v>
      </c>
      <c r="S23">
        <v>1100</v>
      </c>
      <c r="T23">
        <v>388</v>
      </c>
      <c r="U23">
        <f t="shared" si="0"/>
        <v>4268</v>
      </c>
    </row>
    <row r="24" spans="1:21" x14ac:dyDescent="0.5">
      <c r="A24">
        <v>20</v>
      </c>
      <c r="B24">
        <v>0</v>
      </c>
      <c r="C24">
        <v>20</v>
      </c>
      <c r="D24">
        <v>0</v>
      </c>
      <c r="E24">
        <v>0</v>
      </c>
      <c r="F24">
        <v>0</v>
      </c>
      <c r="G24" t="s">
        <v>22</v>
      </c>
      <c r="H24" t="s">
        <v>45</v>
      </c>
      <c r="I24">
        <v>20</v>
      </c>
      <c r="J24">
        <v>100</v>
      </c>
      <c r="K24">
        <v>2000</v>
      </c>
      <c r="L24">
        <v>0</v>
      </c>
      <c r="M24">
        <v>0</v>
      </c>
      <c r="N24" t="b">
        <v>0</v>
      </c>
      <c r="O24">
        <v>0</v>
      </c>
      <c r="Q24">
        <v>0</v>
      </c>
      <c r="R24">
        <v>0</v>
      </c>
      <c r="S24">
        <v>2000</v>
      </c>
      <c r="U24">
        <f t="shared" si="0"/>
        <v>0</v>
      </c>
    </row>
    <row r="25" spans="1:21" x14ac:dyDescent="0.5">
      <c r="A25">
        <v>500</v>
      </c>
      <c r="B25">
        <v>0</v>
      </c>
      <c r="C25">
        <v>0</v>
      </c>
      <c r="D25">
        <v>0</v>
      </c>
      <c r="E25">
        <v>0</v>
      </c>
      <c r="F25">
        <v>500</v>
      </c>
      <c r="G25" t="s">
        <v>22</v>
      </c>
      <c r="H25" t="s">
        <v>46</v>
      </c>
      <c r="I25">
        <v>20</v>
      </c>
      <c r="J25">
        <v>100</v>
      </c>
      <c r="K25">
        <v>2000</v>
      </c>
      <c r="L25" t="s">
        <v>54</v>
      </c>
      <c r="M25" t="s">
        <v>61</v>
      </c>
      <c r="N25" t="b">
        <v>1</v>
      </c>
      <c r="O25">
        <v>1</v>
      </c>
      <c r="P25" t="s">
        <v>65</v>
      </c>
      <c r="Q25">
        <v>285506.55</v>
      </c>
      <c r="R25">
        <v>500</v>
      </c>
      <c r="S25">
        <v>285506.55</v>
      </c>
      <c r="U25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prabin chand</cp:lastModifiedBy>
  <dcterms:created xsi:type="dcterms:W3CDTF">2025-11-11T06:31:56Z</dcterms:created>
  <dcterms:modified xsi:type="dcterms:W3CDTF">2025-11-11T07:47:31Z</dcterms:modified>
</cp:coreProperties>
</file>